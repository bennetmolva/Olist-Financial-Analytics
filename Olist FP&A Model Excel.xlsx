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molva/Documents/Olist-Financial-Analytics/"/>
    </mc:Choice>
  </mc:AlternateContent>
  <xr:revisionPtr revIDLastSave="0" documentId="8_{36A98295-BB1F-6343-828C-4094EADC7C56}" xr6:coauthVersionLast="47" xr6:coauthVersionMax="47" xr10:uidLastSave="{00000000-0000-0000-0000-000000000000}"/>
  <bookViews>
    <workbookView xWindow="2720" yWindow="620" windowWidth="17020" windowHeight="16160" activeTab="3" xr2:uid="{CC35618F-599A-794F-AC67-0011E6120874}"/>
  </bookViews>
  <sheets>
    <sheet name="Forecast_Data" sheetId="3" r:id="rId1"/>
    <sheet name="Raw_Data" sheetId="1" r:id="rId2"/>
    <sheet name="Financial_Analysis" sheetId="2" r:id="rId3"/>
    <sheet name="Executive_Dashboard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4" l="1"/>
  <c r="L3" i="4"/>
  <c r="M3" i="4"/>
  <c r="N3" i="4"/>
  <c r="L4" i="4"/>
  <c r="M4" i="4"/>
  <c r="N4" i="4"/>
  <c r="L5" i="4"/>
  <c r="M5" i="4"/>
  <c r="N5" i="4"/>
  <c r="L6" i="4"/>
  <c r="M6" i="4"/>
  <c r="N6" i="4"/>
  <c r="L7" i="4"/>
  <c r="M7" i="4"/>
  <c r="N7" i="4"/>
  <c r="L8" i="4"/>
  <c r="M8" i="4"/>
  <c r="N8" i="4"/>
  <c r="L9" i="4"/>
  <c r="M9" i="4"/>
  <c r="N9" i="4"/>
  <c r="L10" i="4"/>
  <c r="M10" i="4"/>
  <c r="N10" i="4"/>
  <c r="L11" i="4"/>
  <c r="M11" i="4"/>
  <c r="N11" i="4"/>
  <c r="L12" i="4"/>
  <c r="M12" i="4"/>
  <c r="N12" i="4"/>
  <c r="L13" i="4"/>
  <c r="M13" i="4"/>
  <c r="N13" i="4"/>
  <c r="N2" i="4"/>
  <c r="M2" i="4"/>
  <c r="G10" i="2"/>
  <c r="B5" i="4"/>
  <c r="B4" i="4"/>
  <c r="B3" i="4"/>
  <c r="J11" i="2"/>
  <c r="K11" i="2" s="1"/>
  <c r="J12" i="2"/>
  <c r="K12" i="2" s="1"/>
  <c r="J13" i="2"/>
  <c r="K13" i="2" s="1"/>
  <c r="J14" i="2"/>
  <c r="K14" i="2"/>
  <c r="J15" i="2"/>
  <c r="K15" i="2" s="1"/>
  <c r="J16" i="2"/>
  <c r="K16" i="2"/>
  <c r="J17" i="2"/>
  <c r="K17" i="2"/>
  <c r="J18" i="2"/>
  <c r="K18" i="2"/>
  <c r="J19" i="2"/>
  <c r="K19" i="2" s="1"/>
  <c r="J20" i="2"/>
  <c r="K20" i="2" s="1"/>
  <c r="J21" i="2"/>
  <c r="K21" i="2" s="1"/>
  <c r="G11" i="2"/>
  <c r="G12" i="2"/>
  <c r="G13" i="2"/>
  <c r="G14" i="2"/>
  <c r="H14" i="2" s="1"/>
  <c r="I14" i="2" s="1"/>
  <c r="G15" i="2"/>
  <c r="H15" i="2" s="1"/>
  <c r="I15" i="2" s="1"/>
  <c r="G16" i="2"/>
  <c r="H16" i="2" s="1"/>
  <c r="I16" i="2" s="1"/>
  <c r="G17" i="2"/>
  <c r="H17" i="2" s="1"/>
  <c r="I17" i="2" s="1"/>
  <c r="G18" i="2"/>
  <c r="H18" i="2" s="1"/>
  <c r="I18" i="2" s="1"/>
  <c r="G19" i="2"/>
  <c r="H19" i="2" s="1"/>
  <c r="I19" i="2" s="1"/>
  <c r="G20" i="2"/>
  <c r="H20" i="2" s="1"/>
  <c r="I20" i="2" s="1"/>
  <c r="G21" i="2"/>
  <c r="H21" i="2" s="1"/>
  <c r="I21" i="2" s="1"/>
  <c r="H11" i="2"/>
  <c r="I11" i="2" s="1"/>
  <c r="H12" i="2"/>
  <c r="I12" i="2" s="1"/>
  <c r="H13" i="2"/>
  <c r="I13" i="2" s="1"/>
  <c r="E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F3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D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" i="2"/>
  <c r="H10" i="2" l="1"/>
  <c r="I10" i="2" s="1"/>
  <c r="J10" i="2"/>
  <c r="K10" i="2" l="1"/>
  <c r="K24" i="2" s="1"/>
  <c r="B7" i="4" s="1"/>
  <c r="J24" i="2"/>
  <c r="B6" i="4" s="1"/>
</calcChain>
</file>

<file path=xl/sharedStrings.xml><?xml version="1.0" encoding="utf-8"?>
<sst xmlns="http://schemas.openxmlformats.org/spreadsheetml/2006/main" count="121" uniqueCount="85">
  <si>
    <t>month</t>
  </si>
  <si>
    <t>total_orders</t>
  </si>
  <si>
    <t>total_sales</t>
  </si>
  <si>
    <t>avg_order_value</t>
  </si>
  <si>
    <t>Month</t>
  </si>
  <si>
    <t>Orders</t>
  </si>
  <si>
    <t>Product Sales (R$)</t>
  </si>
  <si>
    <t>Average Order Value</t>
  </si>
  <si>
    <t>Sales Growth %</t>
  </si>
  <si>
    <t>Order Growth %</t>
  </si>
  <si>
    <t>model</t>
  </si>
  <si>
    <t>actual</t>
  </si>
  <si>
    <t>forecast</t>
  </si>
  <si>
    <t>absolute_error</t>
  </si>
  <si>
    <t>Linear Regression</t>
  </si>
  <si>
    <t>624577.9328571429</t>
  </si>
  <si>
    <t>17178.262857142836</t>
  </si>
  <si>
    <t>Moving Average</t>
  </si>
  <si>
    <t>486075.8633333333</t>
  </si>
  <si>
    <t>121323.80666666676</t>
  </si>
  <si>
    <t>Naive Forecast</t>
  </si>
  <si>
    <t>52699.97000000009</t>
  </si>
  <si>
    <t>672586.6863888889</t>
  </si>
  <si>
    <t>24339.03638888884</t>
  </si>
  <si>
    <t>547901.2966666667</t>
  </si>
  <si>
    <t>100346.35333333327</t>
  </si>
  <si>
    <t>40847.97999999998</t>
  </si>
  <si>
    <t>717349.3913333333</t>
  </si>
  <si>
    <t>270415.97866666666</t>
  </si>
  <si>
    <t>603449.0066666667</t>
  </si>
  <si>
    <t>384316.3633333333</t>
  </si>
  <si>
    <t>868853.2101818183</t>
  </si>
  <si>
    <t>142820.0201818184</t>
  </si>
  <si>
    <t>21771.040000000037</t>
  </si>
  <si>
    <t>261732.18000000005</t>
  </si>
  <si>
    <t>886708.9078787877</t>
  </si>
  <si>
    <t>37936.09212121228</t>
  </si>
  <si>
    <t>787348.7366666667</t>
  </si>
  <si>
    <t>137296.2633333333</t>
  </si>
  <si>
    <t>198611.81000000006</t>
  </si>
  <si>
    <t>131913.71499999997</t>
  </si>
  <si>
    <t>879481.1866666666</t>
  </si>
  <si>
    <t>53044.05666666664</t>
  </si>
  <si>
    <t>28524.895934066037</t>
  </si>
  <si>
    <t>825705.1066666666</t>
  </si>
  <si>
    <t>127651.14333333343</t>
  </si>
  <si>
    <t>1031725.4775238095</t>
  </si>
  <si>
    <t>58191.387523809564</t>
  </si>
  <si>
    <t>20177.839999999967</t>
  </si>
  <si>
    <t>96370.78875000007</t>
  </si>
  <si>
    <t>917775.8233333332</t>
  </si>
  <si>
    <t>4010.5999999999767</t>
  </si>
  <si>
    <t>1106694.2136029413</t>
  </si>
  <si>
    <t>250616.35360294126</t>
  </si>
  <si>
    <t>968145.0099999999</t>
  </si>
  <si>
    <t>112067.1499999999</t>
  </si>
  <si>
    <t>121466.82999999996</t>
  </si>
  <si>
    <t>1104566.2818300654</t>
  </si>
  <si>
    <t>236612.82183006546</t>
  </si>
  <si>
    <t>935718.8799999999</t>
  </si>
  <si>
    <t>67765.41999999993</t>
  </si>
  <si>
    <t>11875.599999999977</t>
  </si>
  <si>
    <t>1103920.8692982455</t>
  </si>
  <si>
    <t>265344.2292982455</t>
  </si>
  <si>
    <t>900525.3366666666</t>
  </si>
  <si>
    <t>61948.69666666654</t>
  </si>
  <si>
    <t>29376.81999999995</t>
  </si>
  <si>
    <t>Forecast Sales (R$)</t>
  </si>
  <si>
    <t>Variance (R$</t>
  </si>
  <si>
    <t>Variance %</t>
  </si>
  <si>
    <t>Absolute Error (R$)</t>
  </si>
  <si>
    <t>Absolute Percentage Error</t>
  </si>
  <si>
    <t>Average Forecast Error</t>
  </si>
  <si>
    <t>Average Percent Error</t>
  </si>
  <si>
    <t>Olist Financial Performance Dashboard</t>
  </si>
  <si>
    <t>Total Product Sales</t>
  </si>
  <si>
    <t>Total Orders</t>
  </si>
  <si>
    <t>Forecast MAE</t>
  </si>
  <si>
    <t>Forecast MAPE</t>
  </si>
  <si>
    <t>Actual Sales</t>
  </si>
  <si>
    <t>Forecast Sales</t>
  </si>
  <si>
    <t>Management Insight</t>
  </si>
  <si>
    <t>1. Sales expanded significantly during 2017, with a notable November peak.</t>
  </si>
  <si>
    <t>2. Naïve forecasting model achieved a 12.8% average percentage error.</t>
  </si>
  <si>
    <t>3. Monthly sales fluctuations suggest forecasting uncertainty that management should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</si>
</sst>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0" formatCode="mmm\ yyyy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2" applyFont="1"/>
    <xf numFmtId="44" fontId="0" fillId="0" borderId="0" xfId="1" applyFont="1"/>
    <xf numFmtId="0" fontId="0" fillId="0" borderId="0" xfId="0" quotePrefix="1"/>
    <xf numFmtId="44" fontId="0" fillId="0" borderId="0" xfId="0" applyNumberFormat="1"/>
    <xf numFmtId="2" fontId="0" fillId="0" borderId="0" xfId="0" applyNumberFormat="1"/>
    <xf numFmtId="0" fontId="18" fillId="0" borderId="0" xfId="0" applyFont="1"/>
    <xf numFmtId="0" fontId="19" fillId="0" borderId="0" xfId="0" applyFont="1"/>
    <xf numFmtId="170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Product Sales Trend (2017-2018)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Financial_Analysis!$C$1</c:f>
              <c:strCache>
                <c:ptCount val="1"/>
                <c:pt idx="0">
                  <c:v> Product Sales (R$)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Financial_Analysis!$A$2:$A$21</c:f>
              <c:numCache>
                <c:formatCode>m/d/yy</c:formatCode>
                <c:ptCount val="2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</c:numCache>
            </c:numRef>
          </c:cat>
          <c:val>
            <c:numRef>
              <c:f>Financial_Analysis!$C$2:$C$21</c:f>
              <c:numCache>
                <c:formatCode>_("$"* #,##0.00_);_("$"* \(#,##0.00\);_("$"* "-"??_);_(@_)</c:formatCode>
                <c:ptCount val="20"/>
                <c:pt idx="0">
                  <c:v>111798.36</c:v>
                </c:pt>
                <c:pt idx="1">
                  <c:v>234223.4</c:v>
                </c:pt>
                <c:pt idx="2">
                  <c:v>359198.85</c:v>
                </c:pt>
                <c:pt idx="3">
                  <c:v>340669.68</c:v>
                </c:pt>
                <c:pt idx="4">
                  <c:v>489338.25</c:v>
                </c:pt>
                <c:pt idx="5">
                  <c:v>421923.37</c:v>
                </c:pt>
                <c:pt idx="6">
                  <c:v>481604.52</c:v>
                </c:pt>
                <c:pt idx="7">
                  <c:v>554699.69999999995</c:v>
                </c:pt>
                <c:pt idx="8">
                  <c:v>607399.67000000004</c:v>
                </c:pt>
                <c:pt idx="9">
                  <c:v>648247.65</c:v>
                </c:pt>
                <c:pt idx="10">
                  <c:v>987765.37</c:v>
                </c:pt>
                <c:pt idx="11">
                  <c:v>726033.19</c:v>
                </c:pt>
                <c:pt idx="12">
                  <c:v>924645</c:v>
                </c:pt>
                <c:pt idx="13">
                  <c:v>826437.13</c:v>
                </c:pt>
                <c:pt idx="14">
                  <c:v>953356.25</c:v>
                </c:pt>
                <c:pt idx="15">
                  <c:v>973534.09</c:v>
                </c:pt>
                <c:pt idx="16">
                  <c:v>977544.69</c:v>
                </c:pt>
                <c:pt idx="17">
                  <c:v>856077.86</c:v>
                </c:pt>
                <c:pt idx="18">
                  <c:v>867953.46</c:v>
                </c:pt>
                <c:pt idx="19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9-2143-8D7C-97A91135E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408383"/>
        <c:axId val="1025525055"/>
      </c:lineChart>
      <c:dateAx>
        <c:axId val="108140838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25055"/>
        <c:crosses val="autoZero"/>
        <c:auto val="1"/>
        <c:lblOffset val="100"/>
        <c:baseTimeUnit val="months"/>
      </c:dateAx>
      <c:valAx>
        <c:axId val="102552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0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Vs. Forecast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Executive_Dashboard!$M$1</c:f>
              <c:strCache>
                <c:ptCount val="1"/>
                <c:pt idx="0">
                  <c:v>Actual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Executive_Dashboard!$L$2:$L$13</c:f>
              <c:numCache>
                <c:formatCode>mmm\ yyyy</c:formatCode>
                <c:ptCount val="12"/>
                <c:pt idx="0">
                  <c:v>42979</c:v>
                </c:pt>
                <c:pt idx="1">
                  <c:v>43009</c:v>
                </c:pt>
                <c:pt idx="2">
                  <c:v>43040</c:v>
                </c:pt>
                <c:pt idx="3">
                  <c:v>43070</c:v>
                </c:pt>
                <c:pt idx="4">
                  <c:v>43101</c:v>
                </c:pt>
                <c:pt idx="5">
                  <c:v>43132</c:v>
                </c:pt>
                <c:pt idx="6">
                  <c:v>43160</c:v>
                </c:pt>
                <c:pt idx="7">
                  <c:v>43191</c:v>
                </c:pt>
                <c:pt idx="8">
                  <c:v>43221</c:v>
                </c:pt>
                <c:pt idx="9">
                  <c:v>43252</c:v>
                </c:pt>
                <c:pt idx="10">
                  <c:v>43282</c:v>
                </c:pt>
                <c:pt idx="11">
                  <c:v>43313</c:v>
                </c:pt>
              </c:numCache>
            </c:numRef>
          </c:cat>
          <c:val>
            <c:numRef>
              <c:f>Executive_Dashboard!$M$2:$M$13</c:f>
              <c:numCache>
                <c:formatCode>_("$"* #,##0.00_);_("$"* \(#,##0.00\);_("$"* "-"??_);_(@_)</c:formatCode>
                <c:ptCount val="12"/>
                <c:pt idx="0">
                  <c:v>607399.67000000004</c:v>
                </c:pt>
                <c:pt idx="1">
                  <c:v>648247.65</c:v>
                </c:pt>
                <c:pt idx="2">
                  <c:v>987765.37</c:v>
                </c:pt>
                <c:pt idx="3">
                  <c:v>726033.19</c:v>
                </c:pt>
                <c:pt idx="4">
                  <c:v>924645</c:v>
                </c:pt>
                <c:pt idx="5">
                  <c:v>826437.13</c:v>
                </c:pt>
                <c:pt idx="6">
                  <c:v>953356.25</c:v>
                </c:pt>
                <c:pt idx="7">
                  <c:v>973534.09</c:v>
                </c:pt>
                <c:pt idx="8">
                  <c:v>977544.69</c:v>
                </c:pt>
                <c:pt idx="9">
                  <c:v>856077.86</c:v>
                </c:pt>
                <c:pt idx="10">
                  <c:v>867953.46</c:v>
                </c:pt>
                <c:pt idx="11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1-A74F-BC18-46454A96EEA1}"/>
            </c:ext>
          </c:extLst>
        </c:ser>
        <c:ser>
          <c:idx val="1"/>
          <c:order val="1"/>
          <c:tx>
            <c:strRef>
              <c:f>Executive_Dashboard!$N$1</c:f>
              <c:strCache>
                <c:ptCount val="1"/>
                <c:pt idx="0">
                  <c:v>Forecast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Executive_Dashboard!$L$2:$L$13</c:f>
              <c:numCache>
                <c:formatCode>mmm\ yyyy</c:formatCode>
                <c:ptCount val="12"/>
                <c:pt idx="0">
                  <c:v>42979</c:v>
                </c:pt>
                <c:pt idx="1">
                  <c:v>43009</c:v>
                </c:pt>
                <c:pt idx="2">
                  <c:v>43040</c:v>
                </c:pt>
                <c:pt idx="3">
                  <c:v>43070</c:v>
                </c:pt>
                <c:pt idx="4">
                  <c:v>43101</c:v>
                </c:pt>
                <c:pt idx="5">
                  <c:v>43132</c:v>
                </c:pt>
                <c:pt idx="6">
                  <c:v>43160</c:v>
                </c:pt>
                <c:pt idx="7">
                  <c:v>43191</c:v>
                </c:pt>
                <c:pt idx="8">
                  <c:v>43221</c:v>
                </c:pt>
                <c:pt idx="9">
                  <c:v>43252</c:v>
                </c:pt>
                <c:pt idx="10">
                  <c:v>43282</c:v>
                </c:pt>
                <c:pt idx="11">
                  <c:v>43313</c:v>
                </c:pt>
              </c:numCache>
            </c:numRef>
          </c:cat>
          <c:val>
            <c:numRef>
              <c:f>Executive_Dashboard!$N$2:$N$13</c:f>
              <c:numCache>
                <c:formatCode>_("$"* #,##0.00_);_("$"* \(#,##0.00\);_("$"* "-"??_);_(@_)</c:formatCode>
                <c:ptCount val="12"/>
                <c:pt idx="0">
                  <c:v>554699.69999999995</c:v>
                </c:pt>
                <c:pt idx="1">
                  <c:v>607399.67000000004</c:v>
                </c:pt>
                <c:pt idx="2">
                  <c:v>648247.65</c:v>
                </c:pt>
                <c:pt idx="3">
                  <c:v>987765.37</c:v>
                </c:pt>
                <c:pt idx="4">
                  <c:v>726033.19</c:v>
                </c:pt>
                <c:pt idx="5">
                  <c:v>924645</c:v>
                </c:pt>
                <c:pt idx="6">
                  <c:v>826437.13</c:v>
                </c:pt>
                <c:pt idx="7">
                  <c:v>953356.25</c:v>
                </c:pt>
                <c:pt idx="8">
                  <c:v>973534.09</c:v>
                </c:pt>
                <c:pt idx="9">
                  <c:v>977544.69</c:v>
                </c:pt>
                <c:pt idx="10">
                  <c:v>856077.86</c:v>
                </c:pt>
                <c:pt idx="11">
                  <c:v>867953.46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1-A74F-BC18-46454A96E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5576447"/>
        <c:axId val="1025576895"/>
      </c:lineChart>
      <c:dateAx>
        <c:axId val="1025576447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76895"/>
        <c:crosses val="autoZero"/>
        <c:auto val="1"/>
        <c:lblOffset val="100"/>
        <c:baseTimeUnit val="months"/>
      </c:dateAx>
      <c:valAx>
        <c:axId val="102557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7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2</xdr:col>
      <xdr:colOff>25400</xdr:colOff>
      <xdr:row>22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87C54-25F0-6E47-B48A-C69CC4EA7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495300</xdr:colOff>
      <xdr:row>15</xdr:row>
      <xdr:rowOff>88900</xdr:rowOff>
    </xdr:from>
    <xdr:to>
      <xdr:col>15</xdr:col>
      <xdr:colOff>647700</xdr:colOff>
      <xdr:row>28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C638DD-6D95-A179-0ABF-60E050097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B44D-9F1F-0241-8986-C3BEDB674E87}">
  <dimension ref="A1:E37"/>
  <sheetViews>
    <sheetView workbookViewId="0">
      <selection activeCell="D1" sqref="D1"/>
    </sheetView>
  </sheetViews>
  <sheetFormatPr baseColWidth="10" defaultRowHeight="16" x14ac:dyDescent="0.2"/>
  <sheetData>
    <row r="1" spans="1:5" x14ac:dyDescent="0.2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">
      <c r="A2" s="1">
        <v>42979</v>
      </c>
      <c r="B2" t="s">
        <v>14</v>
      </c>
      <c r="C2">
        <v>607399.67000000004</v>
      </c>
      <c r="D2" s="4" t="s">
        <v>15</v>
      </c>
      <c r="E2" s="4" t="s">
        <v>16</v>
      </c>
    </row>
    <row r="3" spans="1:5" x14ac:dyDescent="0.2">
      <c r="A3" s="1">
        <v>42979</v>
      </c>
      <c r="B3" t="s">
        <v>17</v>
      </c>
      <c r="C3">
        <v>607399.67000000004</v>
      </c>
      <c r="D3" s="4" t="s">
        <v>18</v>
      </c>
      <c r="E3" s="4" t="s">
        <v>19</v>
      </c>
    </row>
    <row r="4" spans="1:5" x14ac:dyDescent="0.2">
      <c r="A4" s="1">
        <v>42979</v>
      </c>
      <c r="B4" t="s">
        <v>20</v>
      </c>
      <c r="C4">
        <v>607399.67000000004</v>
      </c>
      <c r="D4">
        <v>554699.69999999995</v>
      </c>
      <c r="E4" s="4" t="s">
        <v>21</v>
      </c>
    </row>
    <row r="5" spans="1:5" x14ac:dyDescent="0.2">
      <c r="A5" s="1">
        <v>43009</v>
      </c>
      <c r="B5" t="s">
        <v>14</v>
      </c>
      <c r="C5">
        <v>648247.65</v>
      </c>
      <c r="D5" s="4" t="s">
        <v>22</v>
      </c>
      <c r="E5" s="4" t="s">
        <v>23</v>
      </c>
    </row>
    <row r="6" spans="1:5" x14ac:dyDescent="0.2">
      <c r="A6" s="1">
        <v>43009</v>
      </c>
      <c r="B6" t="s">
        <v>17</v>
      </c>
      <c r="C6">
        <v>648247.65</v>
      </c>
      <c r="D6" s="4" t="s">
        <v>24</v>
      </c>
      <c r="E6" s="4" t="s">
        <v>25</v>
      </c>
    </row>
    <row r="7" spans="1:5" x14ac:dyDescent="0.2">
      <c r="A7" s="1">
        <v>43009</v>
      </c>
      <c r="B7" t="s">
        <v>20</v>
      </c>
      <c r="C7">
        <v>648247.65</v>
      </c>
      <c r="D7">
        <v>607399.67000000004</v>
      </c>
      <c r="E7" s="4" t="s">
        <v>26</v>
      </c>
    </row>
    <row r="8" spans="1:5" x14ac:dyDescent="0.2">
      <c r="A8" s="1">
        <v>43040</v>
      </c>
      <c r="B8" t="s">
        <v>14</v>
      </c>
      <c r="C8">
        <v>987765.37</v>
      </c>
      <c r="D8" s="4" t="s">
        <v>27</v>
      </c>
      <c r="E8" s="4" t="s">
        <v>28</v>
      </c>
    </row>
    <row r="9" spans="1:5" x14ac:dyDescent="0.2">
      <c r="A9" s="1">
        <v>43040</v>
      </c>
      <c r="B9" t="s">
        <v>17</v>
      </c>
      <c r="C9">
        <v>987765.37</v>
      </c>
      <c r="D9" s="4" t="s">
        <v>29</v>
      </c>
      <c r="E9" s="4" t="s">
        <v>30</v>
      </c>
    </row>
    <row r="10" spans="1:5" x14ac:dyDescent="0.2">
      <c r="A10" s="1">
        <v>43040</v>
      </c>
      <c r="B10" t="s">
        <v>20</v>
      </c>
      <c r="C10">
        <v>987765.37</v>
      </c>
      <c r="D10">
        <v>648247.65</v>
      </c>
      <c r="E10">
        <v>339517.72</v>
      </c>
    </row>
    <row r="11" spans="1:5" x14ac:dyDescent="0.2">
      <c r="A11" s="1">
        <v>43070</v>
      </c>
      <c r="B11" t="s">
        <v>14</v>
      </c>
      <c r="C11">
        <v>726033.19</v>
      </c>
      <c r="D11" s="4" t="s">
        <v>31</v>
      </c>
      <c r="E11" s="4" t="s">
        <v>32</v>
      </c>
    </row>
    <row r="12" spans="1:5" x14ac:dyDescent="0.2">
      <c r="A12" s="1">
        <v>43070</v>
      </c>
      <c r="B12" t="s">
        <v>17</v>
      </c>
      <c r="C12">
        <v>726033.19</v>
      </c>
      <c r="D12">
        <v>747804.23</v>
      </c>
      <c r="E12" s="4" t="s">
        <v>33</v>
      </c>
    </row>
    <row r="13" spans="1:5" x14ac:dyDescent="0.2">
      <c r="A13" s="1">
        <v>43070</v>
      </c>
      <c r="B13" t="s">
        <v>20</v>
      </c>
      <c r="C13">
        <v>726033.19</v>
      </c>
      <c r="D13">
        <v>987765.37</v>
      </c>
      <c r="E13" s="4" t="s">
        <v>34</v>
      </c>
    </row>
    <row r="14" spans="1:5" x14ac:dyDescent="0.2">
      <c r="A14" s="1">
        <v>43101</v>
      </c>
      <c r="B14" t="s">
        <v>14</v>
      </c>
      <c r="C14">
        <v>924645</v>
      </c>
      <c r="D14" s="4" t="s">
        <v>35</v>
      </c>
      <c r="E14" s="4" t="s">
        <v>36</v>
      </c>
    </row>
    <row r="15" spans="1:5" x14ac:dyDescent="0.2">
      <c r="A15" s="1">
        <v>43101</v>
      </c>
      <c r="B15" t="s">
        <v>17</v>
      </c>
      <c r="C15">
        <v>924645</v>
      </c>
      <c r="D15" s="4" t="s">
        <v>37</v>
      </c>
      <c r="E15" s="4" t="s">
        <v>38</v>
      </c>
    </row>
    <row r="16" spans="1:5" x14ac:dyDescent="0.2">
      <c r="A16" s="1">
        <v>43101</v>
      </c>
      <c r="B16" t="s">
        <v>20</v>
      </c>
      <c r="C16">
        <v>924645</v>
      </c>
      <c r="D16">
        <v>726033.19</v>
      </c>
      <c r="E16" s="4" t="s">
        <v>39</v>
      </c>
    </row>
    <row r="17" spans="1:5" x14ac:dyDescent="0.2">
      <c r="A17" s="1">
        <v>43132</v>
      </c>
      <c r="B17" t="s">
        <v>14</v>
      </c>
      <c r="C17">
        <v>826437.13</v>
      </c>
      <c r="D17">
        <v>958350.84499999997</v>
      </c>
      <c r="E17" s="4" t="s">
        <v>40</v>
      </c>
    </row>
    <row r="18" spans="1:5" x14ac:dyDescent="0.2">
      <c r="A18" s="1">
        <v>43132</v>
      </c>
      <c r="B18" t="s">
        <v>17</v>
      </c>
      <c r="C18">
        <v>826437.13</v>
      </c>
      <c r="D18" s="4" t="s">
        <v>41</v>
      </c>
      <c r="E18" s="4" t="s">
        <v>42</v>
      </c>
    </row>
    <row r="19" spans="1:5" x14ac:dyDescent="0.2">
      <c r="A19" s="1">
        <v>43132</v>
      </c>
      <c r="B19" t="s">
        <v>20</v>
      </c>
      <c r="C19">
        <v>826437.13</v>
      </c>
      <c r="D19">
        <v>924645</v>
      </c>
      <c r="E19">
        <v>98207.87</v>
      </c>
    </row>
    <row r="20" spans="1:5" x14ac:dyDescent="0.2">
      <c r="A20" s="1">
        <v>43160</v>
      </c>
      <c r="B20" t="s">
        <v>14</v>
      </c>
      <c r="C20">
        <v>953356.25</v>
      </c>
      <c r="D20">
        <v>981881.14593406604</v>
      </c>
      <c r="E20" s="4" t="s">
        <v>43</v>
      </c>
    </row>
    <row r="21" spans="1:5" x14ac:dyDescent="0.2">
      <c r="A21" s="1">
        <v>43160</v>
      </c>
      <c r="B21" t="s">
        <v>17</v>
      </c>
      <c r="C21">
        <v>953356.25</v>
      </c>
      <c r="D21" s="4" t="s">
        <v>44</v>
      </c>
      <c r="E21" s="4" t="s">
        <v>45</v>
      </c>
    </row>
    <row r="22" spans="1:5" x14ac:dyDescent="0.2">
      <c r="A22" s="1">
        <v>43160</v>
      </c>
      <c r="B22" t="s">
        <v>20</v>
      </c>
      <c r="C22">
        <v>953356.25</v>
      </c>
      <c r="D22">
        <v>826437.13</v>
      </c>
      <c r="E22">
        <v>126919.12</v>
      </c>
    </row>
    <row r="23" spans="1:5" x14ac:dyDescent="0.2">
      <c r="A23" s="1">
        <v>43191</v>
      </c>
      <c r="B23" t="s">
        <v>14</v>
      </c>
      <c r="C23">
        <v>973534.09</v>
      </c>
      <c r="D23" s="4" t="s">
        <v>46</v>
      </c>
      <c r="E23" s="4" t="s">
        <v>47</v>
      </c>
    </row>
    <row r="24" spans="1:5" x14ac:dyDescent="0.2">
      <c r="A24" s="1">
        <v>43191</v>
      </c>
      <c r="B24" t="s">
        <v>17</v>
      </c>
      <c r="C24">
        <v>973534.09</v>
      </c>
      <c r="D24">
        <v>901479.46</v>
      </c>
      <c r="E24">
        <v>72054.63</v>
      </c>
    </row>
    <row r="25" spans="1:5" x14ac:dyDescent="0.2">
      <c r="A25" s="1">
        <v>43191</v>
      </c>
      <c r="B25" t="s">
        <v>20</v>
      </c>
      <c r="C25">
        <v>973534.09</v>
      </c>
      <c r="D25">
        <v>953356.25</v>
      </c>
      <c r="E25" s="4" t="s">
        <v>48</v>
      </c>
    </row>
    <row r="26" spans="1:5" x14ac:dyDescent="0.2">
      <c r="A26" s="1">
        <v>43221</v>
      </c>
      <c r="B26" t="s">
        <v>14</v>
      </c>
      <c r="C26">
        <v>977544.69</v>
      </c>
      <c r="D26">
        <v>1073915.47875</v>
      </c>
      <c r="E26" s="4" t="s">
        <v>49</v>
      </c>
    </row>
    <row r="27" spans="1:5" x14ac:dyDescent="0.2">
      <c r="A27" s="1">
        <v>43221</v>
      </c>
      <c r="B27" t="s">
        <v>17</v>
      </c>
      <c r="C27">
        <v>977544.69</v>
      </c>
      <c r="D27" s="4" t="s">
        <v>50</v>
      </c>
      <c r="E27">
        <v>59768.866666666698</v>
      </c>
    </row>
    <row r="28" spans="1:5" x14ac:dyDescent="0.2">
      <c r="A28" s="1">
        <v>43221</v>
      </c>
      <c r="B28" t="s">
        <v>20</v>
      </c>
      <c r="C28">
        <v>977544.69</v>
      </c>
      <c r="D28">
        <v>973534.09</v>
      </c>
      <c r="E28" s="4" t="s">
        <v>51</v>
      </c>
    </row>
    <row r="29" spans="1:5" x14ac:dyDescent="0.2">
      <c r="A29" s="1">
        <v>43252</v>
      </c>
      <c r="B29" t="s">
        <v>14</v>
      </c>
      <c r="C29">
        <v>856077.86</v>
      </c>
      <c r="D29" s="4" t="s">
        <v>52</v>
      </c>
      <c r="E29" s="4" t="s">
        <v>53</v>
      </c>
    </row>
    <row r="30" spans="1:5" x14ac:dyDescent="0.2">
      <c r="A30" s="1">
        <v>43252</v>
      </c>
      <c r="B30" t="s">
        <v>17</v>
      </c>
      <c r="C30">
        <v>856077.86</v>
      </c>
      <c r="D30" s="4" t="s">
        <v>54</v>
      </c>
      <c r="E30" s="4" t="s">
        <v>55</v>
      </c>
    </row>
    <row r="31" spans="1:5" x14ac:dyDescent="0.2">
      <c r="A31" s="1">
        <v>43252</v>
      </c>
      <c r="B31" t="s">
        <v>20</v>
      </c>
      <c r="C31">
        <v>856077.86</v>
      </c>
      <c r="D31">
        <v>977544.69</v>
      </c>
      <c r="E31" s="4" t="s">
        <v>56</v>
      </c>
    </row>
    <row r="32" spans="1:5" x14ac:dyDescent="0.2">
      <c r="A32" s="1">
        <v>43282</v>
      </c>
      <c r="B32" t="s">
        <v>14</v>
      </c>
      <c r="C32">
        <v>867953.46</v>
      </c>
      <c r="D32" s="4" t="s">
        <v>57</v>
      </c>
      <c r="E32" s="4" t="s">
        <v>58</v>
      </c>
    </row>
    <row r="33" spans="1:5" x14ac:dyDescent="0.2">
      <c r="A33" s="1">
        <v>43282</v>
      </c>
      <c r="B33" t="s">
        <v>17</v>
      </c>
      <c r="C33">
        <v>867953.46</v>
      </c>
      <c r="D33" s="4" t="s">
        <v>59</v>
      </c>
      <c r="E33" s="4" t="s">
        <v>60</v>
      </c>
    </row>
    <row r="34" spans="1:5" x14ac:dyDescent="0.2">
      <c r="A34" s="1">
        <v>43282</v>
      </c>
      <c r="B34" t="s">
        <v>20</v>
      </c>
      <c r="C34">
        <v>867953.46</v>
      </c>
      <c r="D34">
        <v>856077.86</v>
      </c>
      <c r="E34" s="4" t="s">
        <v>61</v>
      </c>
    </row>
    <row r="35" spans="1:5" x14ac:dyDescent="0.2">
      <c r="A35" s="1">
        <v>43313</v>
      </c>
      <c r="B35" t="s">
        <v>14</v>
      </c>
      <c r="C35">
        <v>838576.64000000001</v>
      </c>
      <c r="D35" s="4" t="s">
        <v>62</v>
      </c>
      <c r="E35" s="4" t="s">
        <v>63</v>
      </c>
    </row>
    <row r="36" spans="1:5" x14ac:dyDescent="0.2">
      <c r="A36" s="1">
        <v>43313</v>
      </c>
      <c r="B36" t="s">
        <v>17</v>
      </c>
      <c r="C36">
        <v>838576.64000000001</v>
      </c>
      <c r="D36" s="4" t="s">
        <v>64</v>
      </c>
      <c r="E36" s="4" t="s">
        <v>65</v>
      </c>
    </row>
    <row r="37" spans="1:5" x14ac:dyDescent="0.2">
      <c r="A37" s="1">
        <v>43313</v>
      </c>
      <c r="B37" t="s">
        <v>20</v>
      </c>
      <c r="C37">
        <v>838576.64000000001</v>
      </c>
      <c r="D37">
        <v>867953.46</v>
      </c>
      <c r="E37" s="4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B8DC-E97A-A04D-B3B9-06433B8F1098}">
  <dimension ref="A1:D21"/>
  <sheetViews>
    <sheetView workbookViewId="0">
      <selection activeCell="G30" sqref="G3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42736</v>
      </c>
      <c r="B2">
        <v>750</v>
      </c>
      <c r="C2">
        <v>111798.36</v>
      </c>
      <c r="D2">
        <v>149.06</v>
      </c>
    </row>
    <row r="3" spans="1:4" x14ac:dyDescent="0.2">
      <c r="A3" s="1">
        <v>42767</v>
      </c>
      <c r="B3">
        <v>1653</v>
      </c>
      <c r="C3">
        <v>234223.4</v>
      </c>
      <c r="D3">
        <v>141.69999999999999</v>
      </c>
    </row>
    <row r="4" spans="1:4" x14ac:dyDescent="0.2">
      <c r="A4" s="1">
        <v>42795</v>
      </c>
      <c r="B4">
        <v>2546</v>
      </c>
      <c r="C4">
        <v>359198.85</v>
      </c>
      <c r="D4">
        <v>141.08000000000001</v>
      </c>
    </row>
    <row r="5" spans="1:4" x14ac:dyDescent="0.2">
      <c r="A5" s="1">
        <v>42826</v>
      </c>
      <c r="B5">
        <v>2303</v>
      </c>
      <c r="C5">
        <v>340669.68</v>
      </c>
      <c r="D5">
        <v>147.91999999999999</v>
      </c>
    </row>
    <row r="6" spans="1:4" x14ac:dyDescent="0.2">
      <c r="A6" s="1">
        <v>42856</v>
      </c>
      <c r="B6">
        <v>3546</v>
      </c>
      <c r="C6">
        <v>489338.25</v>
      </c>
      <c r="D6">
        <v>138</v>
      </c>
    </row>
    <row r="7" spans="1:4" x14ac:dyDescent="0.2">
      <c r="A7" s="1">
        <v>42887</v>
      </c>
      <c r="B7">
        <v>3135</v>
      </c>
      <c r="C7">
        <v>421923.37</v>
      </c>
      <c r="D7">
        <v>134.58000000000001</v>
      </c>
    </row>
    <row r="8" spans="1:4" x14ac:dyDescent="0.2">
      <c r="A8" s="1">
        <v>42917</v>
      </c>
      <c r="B8">
        <v>3872</v>
      </c>
      <c r="C8">
        <v>481604.52</v>
      </c>
      <c r="D8">
        <v>124.38</v>
      </c>
    </row>
    <row r="9" spans="1:4" x14ac:dyDescent="0.2">
      <c r="A9" s="1">
        <v>42948</v>
      </c>
      <c r="B9">
        <v>4193</v>
      </c>
      <c r="C9">
        <v>554699.69999999995</v>
      </c>
      <c r="D9">
        <v>132.29</v>
      </c>
    </row>
    <row r="10" spans="1:4" x14ac:dyDescent="0.2">
      <c r="A10" s="1">
        <v>42979</v>
      </c>
      <c r="B10">
        <v>4150</v>
      </c>
      <c r="C10">
        <v>607399.67000000004</v>
      </c>
      <c r="D10">
        <v>146.36000000000001</v>
      </c>
    </row>
    <row r="11" spans="1:4" x14ac:dyDescent="0.2">
      <c r="A11" s="1">
        <v>43009</v>
      </c>
      <c r="B11">
        <v>4478</v>
      </c>
      <c r="C11">
        <v>648247.65</v>
      </c>
      <c r="D11">
        <v>144.76</v>
      </c>
    </row>
    <row r="12" spans="1:4" x14ac:dyDescent="0.2">
      <c r="A12" s="1">
        <v>43040</v>
      </c>
      <c r="B12">
        <v>7289</v>
      </c>
      <c r="C12">
        <v>987765.37</v>
      </c>
      <c r="D12">
        <v>135.51</v>
      </c>
    </row>
    <row r="13" spans="1:4" x14ac:dyDescent="0.2">
      <c r="A13" s="1">
        <v>43070</v>
      </c>
      <c r="B13">
        <v>5513</v>
      </c>
      <c r="C13">
        <v>726033.19</v>
      </c>
      <c r="D13">
        <v>131.69</v>
      </c>
    </row>
    <row r="14" spans="1:4" x14ac:dyDescent="0.2">
      <c r="A14" s="1">
        <v>43101</v>
      </c>
      <c r="B14">
        <v>7069</v>
      </c>
      <c r="C14">
        <v>924645</v>
      </c>
      <c r="D14">
        <v>130.80000000000001</v>
      </c>
    </row>
    <row r="15" spans="1:4" x14ac:dyDescent="0.2">
      <c r="A15" s="1">
        <v>43132</v>
      </c>
      <c r="B15">
        <v>6555</v>
      </c>
      <c r="C15">
        <v>826437.13</v>
      </c>
      <c r="D15">
        <v>126.08</v>
      </c>
    </row>
    <row r="16" spans="1:4" x14ac:dyDescent="0.2">
      <c r="A16" s="1">
        <v>43160</v>
      </c>
      <c r="B16">
        <v>7003</v>
      </c>
      <c r="C16">
        <v>953356.25</v>
      </c>
      <c r="D16">
        <v>136.13999999999999</v>
      </c>
    </row>
    <row r="17" spans="1:4" x14ac:dyDescent="0.2">
      <c r="A17" s="1">
        <v>43191</v>
      </c>
      <c r="B17">
        <v>6798</v>
      </c>
      <c r="C17">
        <v>973534.09</v>
      </c>
      <c r="D17">
        <v>143.21</v>
      </c>
    </row>
    <row r="18" spans="1:4" x14ac:dyDescent="0.2">
      <c r="A18" s="1">
        <v>43221</v>
      </c>
      <c r="B18">
        <v>6749</v>
      </c>
      <c r="C18">
        <v>977544.69</v>
      </c>
      <c r="D18">
        <v>144.84</v>
      </c>
    </row>
    <row r="19" spans="1:4" x14ac:dyDescent="0.2">
      <c r="A19" s="1">
        <v>43252</v>
      </c>
      <c r="B19">
        <v>6099</v>
      </c>
      <c r="C19">
        <v>856077.86</v>
      </c>
      <c r="D19">
        <v>140.36000000000001</v>
      </c>
    </row>
    <row r="20" spans="1:4" x14ac:dyDescent="0.2">
      <c r="A20" s="1">
        <v>43282</v>
      </c>
      <c r="B20">
        <v>6159</v>
      </c>
      <c r="C20">
        <v>867953.46</v>
      </c>
      <c r="D20">
        <v>140.91999999999999</v>
      </c>
    </row>
    <row r="21" spans="1:4" x14ac:dyDescent="0.2">
      <c r="A21" s="1">
        <v>43313</v>
      </c>
      <c r="B21">
        <v>6351</v>
      </c>
      <c r="C21">
        <v>838576.64000000001</v>
      </c>
      <c r="D21">
        <v>132.04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F04A-FC0B-F845-86F1-BD446AF0F619}">
  <dimension ref="A1:K24"/>
  <sheetViews>
    <sheetView workbookViewId="0">
      <selection activeCell="G26" sqref="G26"/>
    </sheetView>
  </sheetViews>
  <sheetFormatPr baseColWidth="10" defaultRowHeight="16" x14ac:dyDescent="0.2"/>
  <cols>
    <col min="1" max="1" width="7.5" bestFit="1" customWidth="1"/>
    <col min="2" max="2" width="6.6640625" bestFit="1" customWidth="1"/>
    <col min="3" max="3" width="16" style="3" bestFit="1" customWidth="1"/>
    <col min="4" max="4" width="17.5" style="3" bestFit="1" customWidth="1"/>
    <col min="5" max="5" width="13.6640625" style="2" bestFit="1" customWidth="1"/>
    <col min="6" max="6" width="14" style="2" bestFit="1" customWidth="1"/>
    <col min="7" max="7" width="17" style="3" bestFit="1" customWidth="1"/>
    <col min="8" max="8" width="13.1640625" style="3" bestFit="1" customWidth="1"/>
    <col min="9" max="9" width="10.83203125" style="2"/>
    <col min="10" max="10" width="19.5" bestFit="1" customWidth="1"/>
    <col min="11" max="11" width="22.33203125" bestFit="1" customWidth="1"/>
  </cols>
  <sheetData>
    <row r="1" spans="1:11" x14ac:dyDescent="0.2">
      <c r="A1" t="s">
        <v>4</v>
      </c>
      <c r="B1" t="s">
        <v>5</v>
      </c>
      <c r="C1" s="3" t="s">
        <v>6</v>
      </c>
      <c r="D1" s="3" t="s">
        <v>7</v>
      </c>
      <c r="E1" s="2" t="s">
        <v>8</v>
      </c>
      <c r="F1" s="2" t="s">
        <v>9</v>
      </c>
      <c r="G1" s="3" t="s">
        <v>67</v>
      </c>
      <c r="H1" s="3" t="s">
        <v>68</v>
      </c>
      <c r="I1" s="2" t="s">
        <v>69</v>
      </c>
      <c r="J1" s="2" t="s">
        <v>70</v>
      </c>
      <c r="K1" s="2" t="s">
        <v>71</v>
      </c>
    </row>
    <row r="2" spans="1:11" x14ac:dyDescent="0.2">
      <c r="A2" s="1">
        <f>Raw_Data!A2</f>
        <v>42736</v>
      </c>
      <c r="B2">
        <f>Raw_Data!B2</f>
        <v>750</v>
      </c>
      <c r="C2" s="3">
        <f>Raw_Data!C2</f>
        <v>111798.36</v>
      </c>
      <c r="D2" s="3">
        <f>Raw_Data!D2</f>
        <v>149.06</v>
      </c>
    </row>
    <row r="3" spans="1:11" x14ac:dyDescent="0.2">
      <c r="A3" s="1">
        <f>Raw_Data!A3</f>
        <v>42767</v>
      </c>
      <c r="B3">
        <f>Raw_Data!B3</f>
        <v>1653</v>
      </c>
      <c r="C3" s="3">
        <f>Raw_Data!C3</f>
        <v>234223.4</v>
      </c>
      <c r="D3" s="3">
        <f>Raw_Data!D3</f>
        <v>141.69999999999999</v>
      </c>
      <c r="E3" s="2">
        <f>IFERROR(C3/C2-1,0)</f>
        <v>1.0950521993345879</v>
      </c>
      <c r="F3" s="2">
        <f>IFERROR(B3/B2-1,0)</f>
        <v>1.2040000000000002</v>
      </c>
    </row>
    <row r="4" spans="1:11" x14ac:dyDescent="0.2">
      <c r="A4" s="1">
        <f>Raw_Data!A4</f>
        <v>42795</v>
      </c>
      <c r="B4">
        <f>Raw_Data!B4</f>
        <v>2546</v>
      </c>
      <c r="C4" s="3">
        <f>Raw_Data!C4</f>
        <v>359198.85</v>
      </c>
      <c r="D4" s="3">
        <f>Raw_Data!D4</f>
        <v>141.08000000000001</v>
      </c>
      <c r="E4" s="2">
        <f>IFERROR(C4/C3-1,0)</f>
        <v>0.53357371637505047</v>
      </c>
      <c r="F4" s="2">
        <f>IFERROR(B4/B3-1,0)</f>
        <v>0.54022988505747116</v>
      </c>
    </row>
    <row r="5" spans="1:11" x14ac:dyDescent="0.2">
      <c r="A5" s="1">
        <f>Raw_Data!A5</f>
        <v>42826</v>
      </c>
      <c r="B5">
        <f>Raw_Data!B5</f>
        <v>2303</v>
      </c>
      <c r="C5" s="3">
        <f>Raw_Data!C5</f>
        <v>340669.68</v>
      </c>
      <c r="D5" s="3">
        <f>Raw_Data!D5</f>
        <v>147.91999999999999</v>
      </c>
      <c r="E5" s="2">
        <f>IFERROR(C5/C4-1,0)</f>
        <v>-5.1584714149279676E-2</v>
      </c>
      <c r="F5" s="2">
        <f>IFERROR(B5/B4-1,0)</f>
        <v>-9.5443833464257666E-2</v>
      </c>
    </row>
    <row r="6" spans="1:11" x14ac:dyDescent="0.2">
      <c r="A6" s="1">
        <f>Raw_Data!A6</f>
        <v>42856</v>
      </c>
      <c r="B6">
        <f>Raw_Data!B6</f>
        <v>3546</v>
      </c>
      <c r="C6" s="3">
        <f>Raw_Data!C6</f>
        <v>489338.25</v>
      </c>
      <c r="D6" s="3">
        <f>Raw_Data!D6</f>
        <v>138</v>
      </c>
      <c r="E6" s="2">
        <f>IFERROR(C6/C5-1,0)</f>
        <v>0.43640094416385988</v>
      </c>
      <c r="F6" s="2">
        <f>IFERROR(B6/B5-1,0)</f>
        <v>0.53973078593139379</v>
      </c>
    </row>
    <row r="7" spans="1:11" x14ac:dyDescent="0.2">
      <c r="A7" s="1">
        <f>Raw_Data!A7</f>
        <v>42887</v>
      </c>
      <c r="B7">
        <f>Raw_Data!B7</f>
        <v>3135</v>
      </c>
      <c r="C7" s="3">
        <f>Raw_Data!C7</f>
        <v>421923.37</v>
      </c>
      <c r="D7" s="3">
        <f>Raw_Data!D7</f>
        <v>134.58000000000001</v>
      </c>
      <c r="E7" s="2">
        <f>IFERROR(C7/C6-1,0)</f>
        <v>-0.13776744409414143</v>
      </c>
      <c r="F7" s="2">
        <f>IFERROR(B7/B6-1,0)</f>
        <v>-0.11590524534686975</v>
      </c>
    </row>
    <row r="8" spans="1:11" x14ac:dyDescent="0.2">
      <c r="A8" s="1">
        <f>Raw_Data!A8</f>
        <v>42917</v>
      </c>
      <c r="B8">
        <f>Raw_Data!B8</f>
        <v>3872</v>
      </c>
      <c r="C8" s="3">
        <f>Raw_Data!C8</f>
        <v>481604.52</v>
      </c>
      <c r="D8" s="3">
        <f>Raw_Data!D8</f>
        <v>124.38</v>
      </c>
      <c r="E8" s="2">
        <f>IFERROR(C8/C7-1,0)</f>
        <v>0.14145021168180372</v>
      </c>
      <c r="F8" s="2">
        <f>IFERROR(B8/B7-1,0)</f>
        <v>0.23508771929824568</v>
      </c>
    </row>
    <row r="9" spans="1:11" x14ac:dyDescent="0.2">
      <c r="A9" s="1">
        <f>Raw_Data!A9</f>
        <v>42948</v>
      </c>
      <c r="B9">
        <f>Raw_Data!B9</f>
        <v>4193</v>
      </c>
      <c r="C9" s="3">
        <f>Raw_Data!C9</f>
        <v>554699.69999999995</v>
      </c>
      <c r="D9" s="3">
        <f>Raw_Data!D9</f>
        <v>132.29</v>
      </c>
      <c r="E9" s="2">
        <f>IFERROR(C9/C8-1,0)</f>
        <v>0.15177428152044747</v>
      </c>
      <c r="F9" s="2">
        <f>IFERROR(B9/B8-1,0)</f>
        <v>8.2902892561983466E-2</v>
      </c>
    </row>
    <row r="10" spans="1:11" x14ac:dyDescent="0.2">
      <c r="A10" s="1">
        <f>Raw_Data!A10</f>
        <v>42979</v>
      </c>
      <c r="B10">
        <f>Raw_Data!B10</f>
        <v>4150</v>
      </c>
      <c r="C10" s="3">
        <f>Raw_Data!C10</f>
        <v>607399.67000000004</v>
      </c>
      <c r="D10" s="3">
        <f>Raw_Data!D10</f>
        <v>146.36000000000001</v>
      </c>
      <c r="E10" s="2">
        <f>IFERROR(C10/C9-1,0)</f>
        <v>9.5006307016210823E-2</v>
      </c>
      <c r="F10" s="2">
        <f>IFERROR(B10/B9-1,0)</f>
        <v>-1.0255187216789863E-2</v>
      </c>
      <c r="G10" s="3">
        <f>SUMIFS(Forecast_Data!$D:$D,Forecast_Data!$A:$A,A10,Forecast_Data!$B:$B,"Naive Forecast")</f>
        <v>554699.69999999995</v>
      </c>
      <c r="H10" s="3">
        <f>C10-G10</f>
        <v>52699.970000000088</v>
      </c>
      <c r="I10" s="2">
        <f>IFERROR(H10/G10,0)</f>
        <v>9.500630701621092E-2</v>
      </c>
      <c r="J10">
        <f>ABS(C10-G10)</f>
        <v>52699.970000000088</v>
      </c>
      <c r="K10">
        <f>IFERROR(J10/C10,0)</f>
        <v>8.6763250957973159E-2</v>
      </c>
    </row>
    <row r="11" spans="1:11" x14ac:dyDescent="0.2">
      <c r="A11" s="1">
        <f>Raw_Data!A11</f>
        <v>43009</v>
      </c>
      <c r="B11">
        <f>Raw_Data!B11</f>
        <v>4478</v>
      </c>
      <c r="C11" s="3">
        <f>Raw_Data!C11</f>
        <v>648247.65</v>
      </c>
      <c r="D11" s="3">
        <f>Raw_Data!D11</f>
        <v>144.76</v>
      </c>
      <c r="E11" s="2">
        <f>IFERROR(C11/C10-1,0)</f>
        <v>6.7250579836501956E-2</v>
      </c>
      <c r="F11" s="2">
        <f>IFERROR(B11/B10-1,0)</f>
        <v>7.9036144578313205E-2</v>
      </c>
      <c r="G11" s="3">
        <f>SUMIFS(Forecast_Data!$D:$D,Forecast_Data!$A:$A,A11,Forecast_Data!$B:$B,"Naive Forecast")</f>
        <v>607399.67000000004</v>
      </c>
      <c r="H11" s="3">
        <f t="shared" ref="H11:H21" si="0">C11-G11</f>
        <v>40847.979999999981</v>
      </c>
      <c r="I11" s="2">
        <f t="shared" ref="I11:I21" si="1">IFERROR(H11/G11,0)</f>
        <v>6.7250579836502011E-2</v>
      </c>
      <c r="J11">
        <f t="shared" ref="J11:J21" si="2">ABS(C11-G11)</f>
        <v>40847.979999999981</v>
      </c>
      <c r="K11">
        <f t="shared" ref="K11:K21" si="3">IFERROR(J11/C11,0)</f>
        <v>6.3012924150207067E-2</v>
      </c>
    </row>
    <row r="12" spans="1:11" x14ac:dyDescent="0.2">
      <c r="A12" s="1">
        <f>Raw_Data!A12</f>
        <v>43040</v>
      </c>
      <c r="B12">
        <f>Raw_Data!B12</f>
        <v>7289</v>
      </c>
      <c r="C12" s="3">
        <f>Raw_Data!C12</f>
        <v>987765.37</v>
      </c>
      <c r="D12" s="3">
        <f>Raw_Data!D12</f>
        <v>135.51</v>
      </c>
      <c r="E12" s="2">
        <f>IFERROR(C12/C11-1,0)</f>
        <v>0.52374693529548466</v>
      </c>
      <c r="F12" s="2">
        <f>IFERROR(B12/B11-1,0)</f>
        <v>0.62773559624832509</v>
      </c>
      <c r="G12" s="3">
        <f>SUMIFS(Forecast_Data!$D:$D,Forecast_Data!$A:$A,A12,Forecast_Data!$B:$B,"Naive Forecast")</f>
        <v>648247.65</v>
      </c>
      <c r="H12" s="3">
        <f t="shared" si="0"/>
        <v>339517.72</v>
      </c>
      <c r="I12" s="2">
        <f t="shared" si="1"/>
        <v>0.52374693529548466</v>
      </c>
      <c r="J12">
        <f t="shared" si="2"/>
        <v>339517.72</v>
      </c>
      <c r="K12">
        <f t="shared" si="3"/>
        <v>0.3437230442691061</v>
      </c>
    </row>
    <row r="13" spans="1:11" x14ac:dyDescent="0.2">
      <c r="A13" s="1">
        <f>Raw_Data!A13</f>
        <v>43070</v>
      </c>
      <c r="B13">
        <f>Raw_Data!B13</f>
        <v>5513</v>
      </c>
      <c r="C13" s="3">
        <f>Raw_Data!C13</f>
        <v>726033.19</v>
      </c>
      <c r="D13" s="3">
        <f>Raw_Data!D13</f>
        <v>131.69</v>
      </c>
      <c r="E13" s="2">
        <f>IFERROR(C13/C12-1,0)</f>
        <v>-0.26497403933081809</v>
      </c>
      <c r="F13" s="2">
        <f>IFERROR(B13/B12-1,0)</f>
        <v>-0.24365482233502533</v>
      </c>
      <c r="G13" s="3">
        <f>SUMIFS(Forecast_Data!$D:$D,Forecast_Data!$A:$A,A13,Forecast_Data!$B:$B,"Naive Forecast")</f>
        <v>987765.37</v>
      </c>
      <c r="H13" s="3">
        <f t="shared" si="0"/>
        <v>-261732.18000000005</v>
      </c>
      <c r="I13" s="2">
        <f t="shared" si="1"/>
        <v>-0.26497403933081803</v>
      </c>
      <c r="J13">
        <f t="shared" si="2"/>
        <v>261732.18000000005</v>
      </c>
      <c r="K13">
        <f t="shared" si="3"/>
        <v>0.36049616409409613</v>
      </c>
    </row>
    <row r="14" spans="1:11" x14ac:dyDescent="0.2">
      <c r="A14" s="1">
        <f>Raw_Data!A14</f>
        <v>43101</v>
      </c>
      <c r="B14">
        <f>Raw_Data!B14</f>
        <v>7069</v>
      </c>
      <c r="C14" s="3">
        <f>Raw_Data!C14</f>
        <v>924645</v>
      </c>
      <c r="D14" s="3">
        <f>Raw_Data!D14</f>
        <v>130.80000000000001</v>
      </c>
      <c r="E14" s="2">
        <f>IFERROR(C14/C13-1,0)</f>
        <v>0.27355748020279913</v>
      </c>
      <c r="F14" s="2">
        <f>IFERROR(B14/B13-1,0)</f>
        <v>0.28224197351714131</v>
      </c>
      <c r="G14" s="3">
        <f>SUMIFS(Forecast_Data!$D:$D,Forecast_Data!$A:$A,A14,Forecast_Data!$B:$B,"Naive Forecast")</f>
        <v>726033.19</v>
      </c>
      <c r="H14" s="3">
        <f t="shared" si="0"/>
        <v>198611.81000000006</v>
      </c>
      <c r="I14" s="2">
        <f t="shared" si="1"/>
        <v>0.27355748020279907</v>
      </c>
      <c r="J14">
        <f t="shared" si="2"/>
        <v>198611.81000000006</v>
      </c>
      <c r="K14">
        <f t="shared" si="3"/>
        <v>0.21479790622346961</v>
      </c>
    </row>
    <row r="15" spans="1:11" x14ac:dyDescent="0.2">
      <c r="A15" s="1">
        <f>Raw_Data!A15</f>
        <v>43132</v>
      </c>
      <c r="B15">
        <f>Raw_Data!B15</f>
        <v>6555</v>
      </c>
      <c r="C15" s="3">
        <f>Raw_Data!C15</f>
        <v>826437.13</v>
      </c>
      <c r="D15" s="3">
        <f>Raw_Data!D15</f>
        <v>126.08</v>
      </c>
      <c r="E15" s="2">
        <f>IFERROR(C15/C14-1,0)</f>
        <v>-0.10621143249571452</v>
      </c>
      <c r="F15" s="2">
        <f>IFERROR(B15/B14-1,0)</f>
        <v>-7.2711840430046637E-2</v>
      </c>
      <c r="G15" s="3">
        <f>SUMIFS(Forecast_Data!$D:$D,Forecast_Data!$A:$A,A15,Forecast_Data!$B:$B,"Naive Forecast")</f>
        <v>924645</v>
      </c>
      <c r="H15" s="3">
        <f t="shared" si="0"/>
        <v>-98207.87</v>
      </c>
      <c r="I15" s="2">
        <f t="shared" si="1"/>
        <v>-0.10621143249571456</v>
      </c>
      <c r="J15">
        <f t="shared" si="2"/>
        <v>98207.87</v>
      </c>
      <c r="K15">
        <f t="shared" si="3"/>
        <v>0.11883283850037085</v>
      </c>
    </row>
    <row r="16" spans="1:11" x14ac:dyDescent="0.2">
      <c r="A16" s="1">
        <f>Raw_Data!A16</f>
        <v>43160</v>
      </c>
      <c r="B16">
        <f>Raw_Data!B16</f>
        <v>7003</v>
      </c>
      <c r="C16" s="3">
        <f>Raw_Data!C16</f>
        <v>953356.25</v>
      </c>
      <c r="D16" s="3">
        <f>Raw_Data!D16</f>
        <v>136.13999999999999</v>
      </c>
      <c r="E16" s="2">
        <f>IFERROR(C16/C15-1,0)</f>
        <v>0.15357383567701022</v>
      </c>
      <c r="F16" s="2">
        <f>IFERROR(B16/B15-1,0)</f>
        <v>6.8344774980930501E-2</v>
      </c>
      <c r="G16" s="3">
        <f>SUMIFS(Forecast_Data!$D:$D,Forecast_Data!$A:$A,A16,Forecast_Data!$B:$B,"Naive Forecast")</f>
        <v>826437.13</v>
      </c>
      <c r="H16" s="3">
        <f t="shared" si="0"/>
        <v>126919.12</v>
      </c>
      <c r="I16" s="2">
        <f t="shared" si="1"/>
        <v>0.1535738356770103</v>
      </c>
      <c r="J16">
        <f t="shared" si="2"/>
        <v>126919.12</v>
      </c>
      <c r="K16">
        <f t="shared" si="3"/>
        <v>0.13312874384575546</v>
      </c>
    </row>
    <row r="17" spans="1:11" x14ac:dyDescent="0.2">
      <c r="A17" s="1">
        <f>Raw_Data!A17</f>
        <v>43191</v>
      </c>
      <c r="B17">
        <f>Raw_Data!B17</f>
        <v>6798</v>
      </c>
      <c r="C17" s="3">
        <f>Raw_Data!C17</f>
        <v>973534.09</v>
      </c>
      <c r="D17" s="3">
        <f>Raw_Data!D17</f>
        <v>143.21</v>
      </c>
      <c r="E17" s="2">
        <f>IFERROR(C17/C16-1,0)</f>
        <v>2.1165057658141917E-2</v>
      </c>
      <c r="F17" s="2">
        <f>IFERROR(B17/B16-1,0)</f>
        <v>-2.9273168642010572E-2</v>
      </c>
      <c r="G17" s="3">
        <f>SUMIFS(Forecast_Data!$D:$D,Forecast_Data!$A:$A,A17,Forecast_Data!$B:$B,"Naive Forecast")</f>
        <v>953356.25</v>
      </c>
      <c r="H17" s="3">
        <f t="shared" si="0"/>
        <v>20177.839999999967</v>
      </c>
      <c r="I17" s="2">
        <f t="shared" si="1"/>
        <v>2.1165057658141924E-2</v>
      </c>
      <c r="J17">
        <f t="shared" si="2"/>
        <v>20177.839999999967</v>
      </c>
      <c r="K17">
        <f t="shared" si="3"/>
        <v>2.0726382575878742E-2</v>
      </c>
    </row>
    <row r="18" spans="1:11" x14ac:dyDescent="0.2">
      <c r="A18" s="1">
        <f>Raw_Data!A18</f>
        <v>43221</v>
      </c>
      <c r="B18">
        <f>Raw_Data!B18</f>
        <v>6749</v>
      </c>
      <c r="C18" s="3">
        <f>Raw_Data!C18</f>
        <v>977544.69</v>
      </c>
      <c r="D18" s="3">
        <f>Raw_Data!D18</f>
        <v>144.84</v>
      </c>
      <c r="E18" s="2">
        <f>IFERROR(C18/C17-1,0)</f>
        <v>4.1196297502021917E-3</v>
      </c>
      <c r="F18" s="2">
        <f>IFERROR(B18/B17-1,0)</f>
        <v>-7.2080023536333915E-3</v>
      </c>
      <c r="G18" s="3">
        <f>SUMIFS(Forecast_Data!$D:$D,Forecast_Data!$A:$A,A18,Forecast_Data!$B:$B,"Naive Forecast")</f>
        <v>973534.09</v>
      </c>
      <c r="H18" s="3">
        <f t="shared" si="0"/>
        <v>4010.5999999999767</v>
      </c>
      <c r="I18" s="2">
        <f t="shared" si="1"/>
        <v>4.1196297502021492E-3</v>
      </c>
      <c r="J18">
        <f t="shared" si="2"/>
        <v>4010.5999999999767</v>
      </c>
      <c r="K18">
        <f t="shared" si="3"/>
        <v>4.102728029753787E-3</v>
      </c>
    </row>
    <row r="19" spans="1:11" x14ac:dyDescent="0.2">
      <c r="A19" s="1">
        <f>Raw_Data!A19</f>
        <v>43252</v>
      </c>
      <c r="B19">
        <f>Raw_Data!B19</f>
        <v>6099</v>
      </c>
      <c r="C19" s="3">
        <f>Raw_Data!C19</f>
        <v>856077.86</v>
      </c>
      <c r="D19" s="3">
        <f>Raw_Data!D19</f>
        <v>140.36000000000001</v>
      </c>
      <c r="E19" s="2">
        <f>IFERROR(C19/C18-1,0)</f>
        <v>-0.1242570608204111</v>
      </c>
      <c r="F19" s="2">
        <f>IFERROR(B19/B18-1,0)</f>
        <v>-9.631056452807818E-2</v>
      </c>
      <c r="G19" s="3">
        <f>SUMIFS(Forecast_Data!$D:$D,Forecast_Data!$A:$A,A19,Forecast_Data!$B:$B,"Naive Forecast")</f>
        <v>977544.69</v>
      </c>
      <c r="H19" s="3">
        <f t="shared" si="0"/>
        <v>-121466.82999999996</v>
      </c>
      <c r="I19" s="2">
        <f t="shared" si="1"/>
        <v>-0.12425706082041116</v>
      </c>
      <c r="J19">
        <f t="shared" si="2"/>
        <v>121466.82999999996</v>
      </c>
      <c r="K19">
        <f t="shared" si="3"/>
        <v>0.14188759653239946</v>
      </c>
    </row>
    <row r="20" spans="1:11" x14ac:dyDescent="0.2">
      <c r="A20" s="1">
        <f>Raw_Data!A20</f>
        <v>43282</v>
      </c>
      <c r="B20">
        <f>Raw_Data!B20</f>
        <v>6159</v>
      </c>
      <c r="C20" s="3">
        <f>Raw_Data!C20</f>
        <v>867953.46</v>
      </c>
      <c r="D20" s="3">
        <f>Raw_Data!D20</f>
        <v>140.91999999999999</v>
      </c>
      <c r="E20" s="2">
        <f>IFERROR(C20/C19-1,0)</f>
        <v>1.3872102708041067E-2</v>
      </c>
      <c r="F20" s="2">
        <f>IFERROR(B20/B19-1,0)</f>
        <v>9.837678307919262E-3</v>
      </c>
      <c r="G20" s="3">
        <f>SUMIFS(Forecast_Data!$D:$D,Forecast_Data!$A:$A,A20,Forecast_Data!$B:$B,"Naive Forecast")</f>
        <v>856077.86</v>
      </c>
      <c r="H20" s="3">
        <f t="shared" si="0"/>
        <v>11875.599999999977</v>
      </c>
      <c r="I20" s="2">
        <f t="shared" si="1"/>
        <v>1.3872102708041038E-2</v>
      </c>
      <c r="J20">
        <f t="shared" si="2"/>
        <v>11875.599999999977</v>
      </c>
      <c r="K20">
        <f t="shared" si="3"/>
        <v>1.368230043117747E-2</v>
      </c>
    </row>
    <row r="21" spans="1:11" x14ac:dyDescent="0.2">
      <c r="A21" s="1">
        <f>Raw_Data!A21</f>
        <v>43313</v>
      </c>
      <c r="B21">
        <f>Raw_Data!B21</f>
        <v>6351</v>
      </c>
      <c r="C21" s="3">
        <f>Raw_Data!C21</f>
        <v>838576.64000000001</v>
      </c>
      <c r="D21" s="3">
        <f>Raw_Data!D21</f>
        <v>132.04</v>
      </c>
      <c r="E21" s="2">
        <f>IFERROR(C21/C20-1,0)</f>
        <v>-3.3846077415256692E-2</v>
      </c>
      <c r="F21" s="2">
        <f>IFERROR(B21/B20-1,0)</f>
        <v>3.1173891865562631E-2</v>
      </c>
      <c r="G21" s="3">
        <f>SUMIFS(Forecast_Data!$D:$D,Forecast_Data!$A:$A,A21,Forecast_Data!$B:$B,"Naive Forecast")</f>
        <v>867953.46</v>
      </c>
      <c r="H21" s="3">
        <f t="shared" si="0"/>
        <v>-29376.819999999949</v>
      </c>
      <c r="I21" s="2">
        <f t="shared" si="1"/>
        <v>-3.3846077415256748E-2</v>
      </c>
      <c r="J21">
        <f t="shared" si="2"/>
        <v>29376.819999999949</v>
      </c>
      <c r="K21">
        <f t="shared" si="3"/>
        <v>3.5031765254038019E-2</v>
      </c>
    </row>
    <row r="23" spans="1:11" x14ac:dyDescent="0.2">
      <c r="J23" t="s">
        <v>72</v>
      </c>
      <c r="K23" t="s">
        <v>73</v>
      </c>
    </row>
    <row r="24" spans="1:11" x14ac:dyDescent="0.2">
      <c r="J24">
        <f>AVERAGE(J10:J21)</f>
        <v>108787.02833333336</v>
      </c>
      <c r="K24">
        <f>AVERAGE(K10:K21)</f>
        <v>0.12801547040535213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7621-7038-C048-BFB9-5448356DF3EC}">
  <dimension ref="A1:N36"/>
  <sheetViews>
    <sheetView tabSelected="1" topLeftCell="B1" workbookViewId="0">
      <selection activeCell="E33" sqref="E33"/>
    </sheetView>
  </sheetViews>
  <sheetFormatPr baseColWidth="10" defaultRowHeight="16" x14ac:dyDescent="0.2"/>
  <cols>
    <col min="1" max="1" width="44.6640625" bestFit="1" customWidth="1"/>
    <col min="2" max="2" width="15" bestFit="1" customWidth="1"/>
    <col min="13" max="13" width="12.5" bestFit="1" customWidth="1"/>
    <col min="14" max="14" width="13" bestFit="1" customWidth="1"/>
  </cols>
  <sheetData>
    <row r="1" spans="1:14" ht="22" x14ac:dyDescent="0.3">
      <c r="A1" s="8" t="s">
        <v>74</v>
      </c>
      <c r="L1" t="s">
        <v>4</v>
      </c>
      <c r="M1" t="s">
        <v>79</v>
      </c>
      <c r="N1" t="s">
        <v>80</v>
      </c>
    </row>
    <row r="2" spans="1:14" x14ac:dyDescent="0.2">
      <c r="L2" s="9">
        <f>(Financial_Analysis!A10)</f>
        <v>42979</v>
      </c>
      <c r="M2" s="5">
        <f>Financial_Analysis!C10</f>
        <v>607399.67000000004</v>
      </c>
      <c r="N2" s="5">
        <f>Financial_Analysis!G10</f>
        <v>554699.69999999995</v>
      </c>
    </row>
    <row r="3" spans="1:14" x14ac:dyDescent="0.2">
      <c r="A3" t="s">
        <v>75</v>
      </c>
      <c r="B3" s="5">
        <f>SUM(Financial_Analysis!C2:C21)</f>
        <v>13181027.129999999</v>
      </c>
      <c r="L3" s="9">
        <f>Financial_Analysis!A11</f>
        <v>43009</v>
      </c>
      <c r="M3" s="5">
        <f>Financial_Analysis!C11</f>
        <v>648247.65</v>
      </c>
      <c r="N3" s="5">
        <f>Financial_Analysis!G11</f>
        <v>607399.67000000004</v>
      </c>
    </row>
    <row r="4" spans="1:14" x14ac:dyDescent="0.2">
      <c r="A4" t="s">
        <v>76</v>
      </c>
      <c r="B4">
        <f>SUM(Financial_Analysis!B2:B21)</f>
        <v>96211</v>
      </c>
      <c r="L4" s="9">
        <f>Financial_Analysis!A12</f>
        <v>43040</v>
      </c>
      <c r="M4" s="5">
        <f>Financial_Analysis!C12</f>
        <v>987765.37</v>
      </c>
      <c r="N4" s="5">
        <f>Financial_Analysis!G12</f>
        <v>648247.65</v>
      </c>
    </row>
    <row r="5" spans="1:14" x14ac:dyDescent="0.2">
      <c r="A5" t="s">
        <v>7</v>
      </c>
      <c r="B5" s="5">
        <f>B3/B4</f>
        <v>137.00124860982632</v>
      </c>
      <c r="L5" s="9">
        <f>Financial_Analysis!A13</f>
        <v>43070</v>
      </c>
      <c r="M5" s="5">
        <f>Financial_Analysis!C13</f>
        <v>726033.19</v>
      </c>
      <c r="N5" s="5">
        <f>Financial_Analysis!G13</f>
        <v>987765.37</v>
      </c>
    </row>
    <row r="6" spans="1:14" x14ac:dyDescent="0.2">
      <c r="A6" t="s">
        <v>77</v>
      </c>
      <c r="B6" s="6">
        <f>Financial_Analysis!J24</f>
        <v>108787.02833333336</v>
      </c>
      <c r="L6" s="9">
        <f>Financial_Analysis!A14</f>
        <v>43101</v>
      </c>
      <c r="M6" s="5">
        <f>Financial_Analysis!C14</f>
        <v>924645</v>
      </c>
      <c r="N6" s="5">
        <f>Financial_Analysis!G14</f>
        <v>726033.19</v>
      </c>
    </row>
    <row r="7" spans="1:14" x14ac:dyDescent="0.2">
      <c r="A7" t="s">
        <v>78</v>
      </c>
      <c r="B7" s="2">
        <f>Financial_Analysis!K24</f>
        <v>0.12801547040535213</v>
      </c>
      <c r="L7" s="9">
        <f>Financial_Analysis!A15</f>
        <v>43132</v>
      </c>
      <c r="M7" s="5">
        <f>Financial_Analysis!C15</f>
        <v>826437.13</v>
      </c>
      <c r="N7" s="5">
        <f>Financial_Analysis!G15</f>
        <v>924645</v>
      </c>
    </row>
    <row r="8" spans="1:14" x14ac:dyDescent="0.2">
      <c r="L8" s="9">
        <f>Financial_Analysis!A16</f>
        <v>43160</v>
      </c>
      <c r="M8" s="5">
        <f>Financial_Analysis!C16</f>
        <v>953356.25</v>
      </c>
      <c r="N8" s="5">
        <f>Financial_Analysis!G16</f>
        <v>826437.13</v>
      </c>
    </row>
    <row r="9" spans="1:14" x14ac:dyDescent="0.2">
      <c r="L9" s="9">
        <f>Financial_Analysis!A17</f>
        <v>43191</v>
      </c>
      <c r="M9" s="5">
        <f>Financial_Analysis!C17</f>
        <v>973534.09</v>
      </c>
      <c r="N9" s="5">
        <f>Financial_Analysis!G17</f>
        <v>953356.25</v>
      </c>
    </row>
    <row r="10" spans="1:14" x14ac:dyDescent="0.2">
      <c r="L10" s="9">
        <f>Financial_Analysis!A18</f>
        <v>43221</v>
      </c>
      <c r="M10" s="5">
        <f>Financial_Analysis!C18</f>
        <v>977544.69</v>
      </c>
      <c r="N10" s="5">
        <f>Financial_Analysis!G18</f>
        <v>973534.09</v>
      </c>
    </row>
    <row r="11" spans="1:14" x14ac:dyDescent="0.2">
      <c r="L11" s="9">
        <f>Financial_Analysis!A19</f>
        <v>43252</v>
      </c>
      <c r="M11" s="5">
        <f>Financial_Analysis!C19</f>
        <v>856077.86</v>
      </c>
      <c r="N11" s="5">
        <f>Financial_Analysis!G19</f>
        <v>977544.69</v>
      </c>
    </row>
    <row r="12" spans="1:14" x14ac:dyDescent="0.2">
      <c r="L12" s="9">
        <f>Financial_Analysis!A20</f>
        <v>43282</v>
      </c>
      <c r="M12" s="5">
        <f>Financial_Analysis!C20</f>
        <v>867953.46</v>
      </c>
      <c r="N12" s="5">
        <f>Financial_Analysis!G20</f>
        <v>856077.86</v>
      </c>
    </row>
    <row r="13" spans="1:14" x14ac:dyDescent="0.2">
      <c r="L13" s="9">
        <f>Financial_Analysis!A21</f>
        <v>43313</v>
      </c>
      <c r="M13" s="5">
        <f>Financial_Analysis!C21</f>
        <v>838576.64000000001</v>
      </c>
      <c r="N13" s="5">
        <f>Financial_Analysis!G21</f>
        <v>867953.46</v>
      </c>
    </row>
    <row r="30" spans="1:1" x14ac:dyDescent="0.2">
      <c r="A30" s="7" t="s">
        <v>81</v>
      </c>
    </row>
    <row r="32" spans="1:1" x14ac:dyDescent="0.2">
      <c r="A32" t="s">
        <v>82</v>
      </c>
    </row>
    <row r="34" spans="1:1" x14ac:dyDescent="0.2">
      <c r="A34" t="s">
        <v>83</v>
      </c>
    </row>
    <row r="36" spans="1:1" x14ac:dyDescent="0.2">
      <c r="A36" t="s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Forecast_Data</vt:lpstr>
      <vt:lpstr>Raw_Data</vt:lpstr>
      <vt:lpstr>Financial_Analysis</vt:lpstr>
      <vt:lpstr>Executive_Dashboard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Molva, Bennet M</cp:lastModifiedBy>
  <dcterms:created xsi:type="dcterms:W3CDTF">2026-10-13T23:41:59Z</dcterms:created>
  <dcterms:modified xsi:type="dcterms:W3CDTF">2026-10-14T21:24:03Z</dcterms:modified>
</cp:coreProperties>
</file>